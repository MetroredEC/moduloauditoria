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redec-my.sharepoint.com/personal/gnavas_metrored_med_ec/Documents/"/>
    </mc:Choice>
  </mc:AlternateContent>
  <xr:revisionPtr revIDLastSave="116" documentId="8_{0C97594E-790D-4941-A74A-27D1ECC94AEB}" xr6:coauthVersionLast="47" xr6:coauthVersionMax="47" xr10:uidLastSave="{B3B0DAD8-5C7F-42B9-A14C-428EC4FA007B}"/>
  <bookViews>
    <workbookView xWindow="-108" yWindow="-108" windowWidth="23256" windowHeight="13896" activeTab="2" xr2:uid="{C19AEB27-A61A-4ED1-A185-55935B6F2E05}"/>
  </bookViews>
  <sheets>
    <sheet name="IDENTIFICACIÓN" sheetId="1" r:id="rId1"/>
    <sheet name="REGISTRO" sheetId="2" r:id="rId2"/>
    <sheet name="PUNTAJE GLOBAL" sheetId="4" r:id="rId3"/>
    <sheet name="Hoja3" sheetId="3" state="hidden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H3" i="4"/>
  <c r="G3" i="4"/>
  <c r="B3" i="4"/>
  <c r="C3" i="4"/>
  <c r="D3" i="4"/>
  <c r="E3" i="4"/>
  <c r="F3" i="4"/>
  <c r="A3" i="4"/>
  <c r="C4" i="2"/>
  <c r="D4" i="2"/>
  <c r="E4" i="2"/>
  <c r="F4" i="2"/>
  <c r="B4" i="2"/>
  <c r="A4" i="2"/>
  <c r="F2" i="4"/>
  <c r="E2" i="4"/>
  <c r="D2" i="4"/>
  <c r="C2" i="4"/>
  <c r="B2" i="4"/>
  <c r="A2" i="4"/>
  <c r="F3" i="2"/>
  <c r="E3" i="2"/>
  <c r="D3" i="2"/>
  <c r="C3" i="2"/>
  <c r="B3" i="2"/>
  <c r="A3" i="2"/>
  <c r="F2" i="2"/>
  <c r="E2" i="2"/>
  <c r="D2" i="2"/>
  <c r="C2" i="2"/>
  <c r="B2" i="2"/>
  <c r="A2" i="2"/>
  <c r="J3" i="4" l="1"/>
</calcChain>
</file>

<file path=xl/sharedStrings.xml><?xml version="1.0" encoding="utf-8"?>
<sst xmlns="http://schemas.openxmlformats.org/spreadsheetml/2006/main" count="59" uniqueCount="58">
  <si>
    <t xml:space="preserve">NUMERO DE EVALUACIÓN </t>
  </si>
  <si>
    <t>MEDICO</t>
  </si>
  <si>
    <t>CENTRO</t>
  </si>
  <si>
    <t>ESPECIALIDAD</t>
  </si>
  <si>
    <t>FECHA</t>
  </si>
  <si>
    <t>ADMISION</t>
  </si>
  <si>
    <t>PROPUESTA</t>
  </si>
  <si>
    <t>DATOS DEL PROFESIONAL</t>
  </si>
  <si>
    <t>REGISTRO</t>
  </si>
  <si>
    <t>EVALUACIÓN CLÍNICA</t>
  </si>
  <si>
    <t xml:space="preserve">INDICACIONES Y TERAPEUTICA </t>
  </si>
  <si>
    <t>DATOS</t>
  </si>
  <si>
    <t>SIGNOS</t>
  </si>
  <si>
    <t>APP</t>
  </si>
  <si>
    <t>APF</t>
  </si>
  <si>
    <t>ALERGIAS</t>
  </si>
  <si>
    <t>MOTIVO DE CONSULTA</t>
  </si>
  <si>
    <t>EA</t>
  </si>
  <si>
    <t>RAS</t>
  </si>
  <si>
    <t>EF</t>
  </si>
  <si>
    <t>HISTORIA CONSISTENTE</t>
  </si>
  <si>
    <t>RIESGO LEGAL</t>
  </si>
  <si>
    <t>DG</t>
  </si>
  <si>
    <t>LAB</t>
  </si>
  <si>
    <t>IMAGEN / PROCEDIMIENTO</t>
  </si>
  <si>
    <t>RP</t>
  </si>
  <si>
    <t>INDICACIONES COMPLETAS</t>
  </si>
  <si>
    <t>PRESCRIPCIÓN DE HÁBITOS Y ASESORÍA EN SALUD</t>
  </si>
  <si>
    <t>Se escribe los datos de consulta según la especialidad respectiva</t>
  </si>
  <si>
    <t>Signos vitales registrados completos y adecuados para la edad</t>
  </si>
  <si>
    <t>Presencia de registro de antecedentes personales relevantes</t>
  </si>
  <si>
    <t xml:space="preserve">Presencia de registro tanto positivo como negativo de antecedentes familiares relevantes </t>
  </si>
  <si>
    <t>Presencia de registro de antecedentes de alergias</t>
  </si>
  <si>
    <t>Registro del motivo por el que el paciente acude a pedir atención médica</t>
  </si>
  <si>
    <t>Descripción de la evolución y detalles de los síntomas y/ o signos descritos en el motivo de consulta y los hallazgos en el interrogatorio, Se incluyen datos positivos y negativos,  Valoración del dolor</t>
  </si>
  <si>
    <t>Mención de signos negativos importantes para el diagnóstico diferencial</t>
  </si>
  <si>
    <t>Describe signos y síntomas extras al motivo de consulta y forman parte importante en el diagnóstico</t>
  </si>
  <si>
    <t xml:space="preserve">Descripción clara y especifica de hallazgos en el  examen físico- registro datos negativos importantes para el diagnóstico diferencial </t>
  </si>
  <si>
    <t>Se evalúa la estructura global de la redacción de la historia clínica buscando la consistencia interna entre síntomas y signos explorados con el motivo de consulta presentado</t>
  </si>
  <si>
    <t>Se evalúa si la información presente en la historia, en caso de presentarse alguna queja, contenga vacíos que puedan presentar riesgo dejando espacio libre para especulaciones o que no evidencie lo actuado</t>
  </si>
  <si>
    <t>Se analiza la hipótesis diagnostica más probable considerando de manera integral la clínica, los factores de riesgo y la situación del contexto del paciente</t>
  </si>
  <si>
    <t xml:space="preserve">Los exámenes prescritos se soportan tanto en evidencia clínica como científica </t>
  </si>
  <si>
    <t>Los exámenes prescritos se soportan tanto en evidencia clínica como científica</t>
  </si>
  <si>
    <t>La decisión de la prescripción terapéutica es adecuada y esta soportada en evidencia científica</t>
  </si>
  <si>
    <t>Indicaciones completas y claras sin espacios de confusión para el paciente, dosificación, horarios, tiempo de tratamiento</t>
  </si>
  <si>
    <t>La prescripción cuenta con recomendaciones de hábitos saludables y no farmacológicos, así como aspectos de prevención y promoción de la salud</t>
  </si>
  <si>
    <t>LISTA VALOR</t>
  </si>
  <si>
    <t>DATOS DE IDENTIFICACIÓN</t>
  </si>
  <si>
    <t>PUNTAJE</t>
  </si>
  <si>
    <t>RETROALIMENTACIÓN A LOS PROFESIONALES</t>
  </si>
  <si>
    <t>CALIDAD DEL REGISTRO</t>
  </si>
  <si>
    <t>TERAPEÚTICA</t>
  </si>
  <si>
    <t>GLOBAL</t>
  </si>
  <si>
    <t>PUNTOS FALTANTES EN HCL</t>
  </si>
  <si>
    <t>RECOMENDACIONES AL PROFESIONAL</t>
  </si>
  <si>
    <t>CM</t>
  </si>
  <si>
    <t>EJEMPLO</t>
  </si>
  <si>
    <t>CEX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</si>
</sst>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\ 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  <charset val="1"/>
    </font>
    <font>
      <b/>
      <sz val="10"/>
      <name val="Arial"/>
      <family val="2"/>
      <charset val="1"/>
    </font>
    <font>
      <sz val="8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9900"/>
      </patternFill>
    </fill>
    <fill>
      <patternFill patternType="solid">
        <fgColor rgb="FF00B0F0"/>
        <bgColor rgb="FFFF9900"/>
      </patternFill>
    </fill>
    <fill>
      <patternFill patternType="solid">
        <fgColor rgb="FF00B05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4" fillId="6" borderId="3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hidden="1"/>
    </xf>
    <xf numFmtId="167" fontId="2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1" xfId="1" applyNumberFormat="1" applyFont="1" applyBorder="1" applyAlignment="1" applyProtection="1">
      <alignment horizontal="center" vertical="center" wrapText="1"/>
      <protection hidden="1"/>
    </xf>
    <xf numFmtId="2" fontId="5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7" fillId="7" borderId="1" xfId="0" applyFont="1" applyFill="1" applyBorder="1" applyAlignment="1" applyProtection="1">
      <alignment horizontal="center" vertical="center" wrapText="1"/>
      <protection hidden="1"/>
    </xf>
    <xf numFmtId="14" fontId="7" fillId="7" borderId="1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" xfId="0" applyNumberFormat="1" applyFont="1" applyBorder="1" applyAlignment="1" applyProtection="1">
      <alignment horizontal="center" vertical="center" wrapText="1"/>
      <protection hidden="1"/>
    </xf>
    <xf numFmtId="1" fontId="5" fillId="8" borderId="1" xfId="0" applyNumberFormat="1" applyFont="1" applyFill="1" applyBorder="1" applyAlignment="1" applyProtection="1">
      <alignment horizontal="center" vertical="center" wrapText="1"/>
      <protection locked="0"/>
    </xf>
    <xf numFmtId="1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1" fontId="5" fillId="10" borderId="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orcentaje" xfId="1" builtinId="5"/>
  </cellStyles>
  <dxfs count="5">
    <dxf>
      <font>
        <color rgb="FF9C5700"/>
      </font>
      <fill>
        <patternFill>
          <bgColor rgb="FFFFEB9C"/>
        </patternFill>
      </fill>
    </dxf>
    <dxf>
      <font>
        <name val="Arial"/>
        <charset val="1"/>
      </font>
    </dxf>
    <dxf>
      <font>
        <name val="Arial"/>
        <charset val="1"/>
      </font>
    </dxf>
    <dxf>
      <font>
        <name val="Arial"/>
        <charset val="1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navas\Downloads\PROPUESTA%20Cambios%20C&#225;lculos%20en%20Auditor&#237;a.xlsx" TargetMode="External"/><Relationship Id="rId1" Type="http://schemas.openxmlformats.org/officeDocument/2006/relationships/externalLinkPath" Target="file:///C:\Users\gnavas\Downloads\PROPUESTA%20Cambios%20C&#225;lculos%20en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ENTIFICACIÓN"/>
      <sheetName val="REGISTRO"/>
      <sheetName val="DATOS DE OBSERVACIONES"/>
      <sheetName val="PUNTAJE GLOBAL"/>
    </sheetNames>
    <sheetDataSet>
      <sheetData sheetId="0">
        <row r="1">
          <cell r="A1" t="str">
            <v xml:space="preserve">NUMERO DE EVALUACIÓN </v>
          </cell>
          <cell r="B1" t="str">
            <v>MEDICO</v>
          </cell>
          <cell r="C1" t="str">
            <v>CENTRO</v>
          </cell>
          <cell r="D1" t="str">
            <v>ESPECIALIDAD</v>
          </cell>
          <cell r="E1" t="str">
            <v>FECHA</v>
          </cell>
          <cell r="F1" t="str">
            <v>ADMISION</v>
          </cell>
        </row>
        <row r="2">
          <cell r="A2" t="str">
            <v>NÚMERO</v>
          </cell>
          <cell r="B2" t="str">
            <v>Nombre profesional</v>
          </cell>
          <cell r="C2" t="str">
            <v>Unidad de atención</v>
          </cell>
          <cell r="D2" t="str">
            <v>Servicio en que se atendió</v>
          </cell>
          <cell r="E2" t="str">
            <v>Mes</v>
          </cell>
          <cell r="F2" t="str">
            <v>Código de admisión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D4E-EF6C-4AEC-8D92-7232C40C7172}">
  <dimension ref="A1:F2"/>
  <sheetViews>
    <sheetView workbookViewId="0">
      <selection activeCell="F3" sqref="F3"/>
    </sheetView>
  </sheetViews>
  <sheetFormatPr baseColWidth="10" defaultRowHeight="14.4" x14ac:dyDescent="0.3"/>
  <cols>
    <col min="1" max="1" width="25.33203125" bestFit="1" customWidth="1"/>
    <col min="2" max="2" width="10.88671875" bestFit="1" customWidth="1"/>
    <col min="3" max="3" width="10.21875" bestFit="1" customWidth="1"/>
    <col min="4" max="4" width="14.5546875" bestFit="1" customWidth="1"/>
    <col min="5" max="5" width="9.33203125" bestFit="1" customWidth="1"/>
    <col min="6" max="6" width="19.6640625" bestFit="1" customWidth="1"/>
  </cols>
  <sheetData>
    <row r="1" spans="1:6" ht="15.6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 x14ac:dyDescent="0.3">
      <c r="A2" s="20">
        <v>1</v>
      </c>
      <c r="B2" s="18" t="s">
        <v>6</v>
      </c>
      <c r="C2" s="18" t="s">
        <v>55</v>
      </c>
      <c r="D2" s="18" t="s">
        <v>56</v>
      </c>
      <c r="E2" s="19">
        <v>45924</v>
      </c>
      <c r="F2" s="1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872C-5DE2-4199-A7DA-B141466D004B}">
  <dimension ref="A1:X4"/>
  <sheetViews>
    <sheetView zoomScale="80" zoomScaleNormal="80" workbookViewId="0">
      <selection activeCell="S13" sqref="S13:T13"/>
    </sheetView>
  </sheetViews>
  <sheetFormatPr baseColWidth="10" defaultRowHeight="14.4" x14ac:dyDescent="0.3"/>
  <cols>
    <col min="1" max="1" width="11.33203125" bestFit="1" customWidth="1"/>
    <col min="2" max="2" width="10.44140625" bestFit="1" customWidth="1"/>
    <col min="3" max="3" width="9.6640625" bestFit="1" customWidth="1"/>
    <col min="4" max="4" width="13" bestFit="1" customWidth="1"/>
    <col min="5" max="5" width="9.5546875" bestFit="1" customWidth="1"/>
    <col min="6" max="6" width="19.109375" bestFit="1" customWidth="1"/>
    <col min="21" max="21" width="14.6640625" bestFit="1" customWidth="1"/>
    <col min="22" max="22" width="15.88671875" bestFit="1" customWidth="1"/>
    <col min="23" max="23" width="17.5546875" bestFit="1" customWidth="1"/>
    <col min="24" max="24" width="21.109375" bestFit="1" customWidth="1"/>
  </cols>
  <sheetData>
    <row r="1" spans="1:24" ht="28.8" x14ac:dyDescent="0.3">
      <c r="A1" s="1" t="s">
        <v>7</v>
      </c>
      <c r="B1" s="1"/>
      <c r="C1" s="1"/>
      <c r="D1" s="1"/>
      <c r="E1" s="1"/>
      <c r="F1" s="1"/>
      <c r="G1" s="2" t="s">
        <v>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9</v>
      </c>
      <c r="T1" s="4" t="s">
        <v>10</v>
      </c>
      <c r="U1" s="4"/>
      <c r="V1" s="4"/>
      <c r="W1" s="4"/>
      <c r="X1" s="4"/>
    </row>
    <row r="2" spans="1:24" ht="69" x14ac:dyDescent="0.3">
      <c r="A2" s="5" t="str">
        <f>[1]IDENTIFICACIÓN!A1</f>
        <v xml:space="preserve">NUMERO DE EVALUACIÓN </v>
      </c>
      <c r="B2" s="5" t="str">
        <f>[1]IDENTIFICACIÓN!B1</f>
        <v>MEDICO</v>
      </c>
      <c r="C2" s="5" t="str">
        <f>[1]IDENTIFICACIÓN!C1</f>
        <v>CENTRO</v>
      </c>
      <c r="D2" s="5" t="str">
        <f>[1]IDENTIFICACIÓN!D1</f>
        <v>ESPECIALIDAD</v>
      </c>
      <c r="E2" s="5" t="str">
        <f>[1]IDENTIFICACIÓN!E1</f>
        <v>FECHA</v>
      </c>
      <c r="F2" s="5" t="str">
        <f>[1]IDENTIFICACIÓN!F1</f>
        <v>ADMISION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8" t="s">
        <v>17</v>
      </c>
      <c r="N2" s="8"/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9" t="s">
        <v>27</v>
      </c>
    </row>
    <row r="3" spans="1:24" ht="52.2" hidden="1" customHeight="1" x14ac:dyDescent="0.3">
      <c r="A3" s="5" t="str">
        <f>[1]IDENTIFICACIÓN!A2</f>
        <v>NÚMERO</v>
      </c>
      <c r="B3" s="5" t="str">
        <f>[1]IDENTIFICACIÓN!B2</f>
        <v>Nombre profesional</v>
      </c>
      <c r="C3" s="5" t="str">
        <f>[1]IDENTIFICACIÓN!C2</f>
        <v>Unidad de atención</v>
      </c>
      <c r="D3" s="5" t="str">
        <f>[1]IDENTIFICACIÓN!D2</f>
        <v>Servicio en que se atendió</v>
      </c>
      <c r="E3" s="5" t="str">
        <f>[1]IDENTIFICACIÓN!E2</f>
        <v>Mes</v>
      </c>
      <c r="F3" s="5" t="str">
        <f>[1]IDENTIFICACIÓN!F2</f>
        <v>Código de admisión</v>
      </c>
      <c r="G3" s="10" t="s">
        <v>28</v>
      </c>
      <c r="H3" s="10" t="s">
        <v>29</v>
      </c>
      <c r="I3" s="10" t="s">
        <v>30</v>
      </c>
      <c r="J3" s="10" t="s">
        <v>31</v>
      </c>
      <c r="K3" s="10" t="s">
        <v>32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37</v>
      </c>
      <c r="Q3" s="10" t="s">
        <v>38</v>
      </c>
      <c r="R3" s="10" t="s">
        <v>39</v>
      </c>
      <c r="S3" s="10" t="s">
        <v>40</v>
      </c>
      <c r="T3" s="10" t="s">
        <v>41</v>
      </c>
      <c r="U3" s="10" t="s">
        <v>42</v>
      </c>
      <c r="V3" s="10" t="s">
        <v>43</v>
      </c>
      <c r="W3" s="11" t="s">
        <v>44</v>
      </c>
      <c r="X3" s="10" t="s">
        <v>45</v>
      </c>
    </row>
    <row r="4" spans="1:24" ht="19.95" customHeight="1" x14ac:dyDescent="0.3">
      <c r="A4" s="22">
        <f>IDENTIFICACIÓN!A2</f>
        <v>1</v>
      </c>
      <c r="B4" s="22" t="str">
        <f>IDENTIFICACIÓN!B2</f>
        <v>PROPUESTA</v>
      </c>
      <c r="C4" s="22" t="str">
        <f>IDENTIFICACIÓN!C2</f>
        <v>CM</v>
      </c>
      <c r="D4" s="22" t="str">
        <f>IDENTIFICACIÓN!D2</f>
        <v>EJEMPLO</v>
      </c>
      <c r="E4" s="23">
        <f>IDENTIFICACIÓN!E2</f>
        <v>45924</v>
      </c>
      <c r="F4" s="22" t="str">
        <f>IDENTIFICACIÓN!F2</f>
        <v>CEX</v>
      </c>
      <c r="G4" s="25">
        <v>1</v>
      </c>
      <c r="H4" s="25">
        <v>1</v>
      </c>
      <c r="I4" s="25">
        <v>1</v>
      </c>
      <c r="J4" s="25">
        <v>1</v>
      </c>
      <c r="K4" s="25">
        <v>1</v>
      </c>
      <c r="L4" s="25">
        <v>1</v>
      </c>
      <c r="M4" s="25">
        <v>1</v>
      </c>
      <c r="N4" s="25">
        <v>1</v>
      </c>
      <c r="O4" s="25">
        <v>1</v>
      </c>
      <c r="P4" s="25">
        <v>1</v>
      </c>
      <c r="Q4" s="25">
        <v>1</v>
      </c>
      <c r="R4" s="25">
        <v>1</v>
      </c>
      <c r="S4" s="26">
        <v>1</v>
      </c>
      <c r="T4" s="27">
        <v>1</v>
      </c>
      <c r="U4" s="27">
        <v>1</v>
      </c>
      <c r="V4" s="27">
        <v>1</v>
      </c>
      <c r="W4" s="27">
        <v>1</v>
      </c>
      <c r="X4" s="27">
        <v>1</v>
      </c>
    </row>
  </sheetData>
  <mergeCells count="4">
    <mergeCell ref="A1:F1"/>
    <mergeCell ref="G1:R1"/>
    <mergeCell ref="T1:X1"/>
    <mergeCell ref="M2:N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A1382-FD96-4E8D-A292-558693E7736F}">
          <x14:formula1>
            <xm:f>Hoja3!$A$2:$A$3</xm:f>
          </x14:formula1>
          <xm:sqref>G4:X4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94CC-22AF-4ECE-9BD5-C5619DB784E6}">
  <dimension ref="A1:L3"/>
  <sheetViews>
    <sheetView tabSelected="1" workbookViewId="0">
      <selection activeCell="J3" sqref="J3"/>
    </sheetView>
  </sheetViews>
  <sheetFormatPr baseColWidth="10" defaultRowHeight="14.4" x14ac:dyDescent="0.3"/>
  <cols>
    <col min="1" max="1" width="11.33203125" bestFit="1" customWidth="1"/>
    <col min="2" max="2" width="11.44140625" customWidth="1"/>
    <col min="3" max="3" width="9.33203125" bestFit="1" customWidth="1"/>
    <col min="4" max="4" width="12.21875" bestFit="1" customWidth="1"/>
    <col min="5" max="5" width="10.5546875" bestFit="1" customWidth="1"/>
    <col min="6" max="6" width="19.109375" bestFit="1" customWidth="1"/>
    <col min="7" max="8" width="11.33203125" bestFit="1" customWidth="1"/>
    <col min="9" max="9" width="11.6640625" customWidth="1"/>
    <col min="10" max="10" width="7.33203125" bestFit="1" customWidth="1"/>
    <col min="11" max="11" width="22.88671875" bestFit="1" customWidth="1"/>
    <col min="12" max="12" width="31.6640625" bestFit="1" customWidth="1"/>
  </cols>
  <sheetData>
    <row r="1" spans="1:12" x14ac:dyDescent="0.3">
      <c r="A1" s="12" t="s">
        <v>47</v>
      </c>
      <c r="B1" s="12"/>
      <c r="C1" s="12"/>
      <c r="D1" s="12"/>
      <c r="E1" s="12"/>
      <c r="F1" s="12"/>
      <c r="G1" s="12" t="s">
        <v>48</v>
      </c>
      <c r="H1" s="12"/>
      <c r="I1" s="12"/>
      <c r="J1" s="12"/>
      <c r="K1" s="12" t="s">
        <v>49</v>
      </c>
      <c r="L1" s="12"/>
    </row>
    <row r="2" spans="1:12" ht="55.2" x14ac:dyDescent="0.3">
      <c r="A2" s="6" t="str">
        <f>[1]IDENTIFICACIÓN!A1</f>
        <v xml:space="preserve">NUMERO DE EVALUACIÓN </v>
      </c>
      <c r="B2" s="6" t="str">
        <f>[1]IDENTIFICACIÓN!B1</f>
        <v>MEDICO</v>
      </c>
      <c r="C2" s="6" t="str">
        <f>[1]IDENTIFICACIÓN!C1</f>
        <v>CENTRO</v>
      </c>
      <c r="D2" s="6" t="str">
        <f>[1]IDENTIFICACIÓN!D1</f>
        <v>ESPECIALIDAD</v>
      </c>
      <c r="E2" s="6" t="str">
        <f>[1]IDENTIFICACIÓN!E1</f>
        <v>FECHA</v>
      </c>
      <c r="F2" s="6" t="str">
        <f>[1]IDENTIFICACIÓN!F1</f>
        <v>ADMISION</v>
      </c>
      <c r="G2" s="13" t="s">
        <v>50</v>
      </c>
      <c r="H2" s="13" t="s">
        <v>9</v>
      </c>
      <c r="I2" s="13" t="s">
        <v>51</v>
      </c>
      <c r="J2" s="13" t="s">
        <v>52</v>
      </c>
      <c r="K2" s="6" t="s">
        <v>53</v>
      </c>
      <c r="L2" s="6" t="s">
        <v>54</v>
      </c>
    </row>
    <row r="3" spans="1:12" ht="19.95" customHeight="1" x14ac:dyDescent="0.3">
      <c r="A3" s="14">
        <f>IDENTIFICACIÓN!A2</f>
        <v>1</v>
      </c>
      <c r="B3" s="14" t="str">
        <f>IDENTIFICACIÓN!B2</f>
        <v>PROPUESTA</v>
      </c>
      <c r="C3" s="14" t="str">
        <f>IDENTIFICACIÓN!C2</f>
        <v>CM</v>
      </c>
      <c r="D3" s="14" t="str">
        <f>IDENTIFICACIÓN!D2</f>
        <v>EJEMPLO</v>
      </c>
      <c r="E3" s="24">
        <f>IDENTIFICACIÓN!E2</f>
        <v>45924</v>
      </c>
      <c r="F3" s="14" t="str">
        <f>IDENTIFICACIÓN!F2</f>
        <v>CEX</v>
      </c>
      <c r="G3" s="14">
        <f>SUM(REGISTRO!I4:P4)*4/8+REGISTRO!Q4*3+REGISTRO!R4*3</f>
        <v>10</v>
      </c>
      <c r="H3" s="15">
        <f>REGISTRO!S4*10</f>
        <v>10</v>
      </c>
      <c r="I3" s="14">
        <f>(REGISTRO!T4*3 + REGISTRO!U4*3 + REGISTRO!V4*2 + REGISTRO!W4*1 + REGISTRO!X4*1)</f>
        <v>10</v>
      </c>
      <c r="J3" s="16">
        <f>G3*0.4+H3*0.2+I3*0.4</f>
        <v>10</v>
      </c>
      <c r="K3" s="17"/>
      <c r="L3" s="17"/>
    </row>
  </sheetData>
  <mergeCells count="3">
    <mergeCell ref="A1:F1"/>
    <mergeCell ref="G1:J1"/>
    <mergeCell ref="K1:L1"/>
  </mergeCells>
  <conditionalFormatting sqref="G3">
    <cfRule type="cellIs" dxfId="4" priority="1" operator="lessThan">
      <formula>7.5</formula>
    </cfRule>
  </conditionalFormatting>
  <conditionalFormatting sqref="I3:J3">
    <cfRule type="cellIs" dxfId="3" priority="2" operator="greaterThan">
      <formula>0.7999</formula>
    </cfRule>
    <cfRule type="cellIs" dxfId="2" priority="3" operator="between">
      <formula>0.5</formula>
      <formula>0.7999</formula>
    </cfRule>
    <cfRule type="cellIs" dxfId="1" priority="4" operator="lessThan">
      <formula>0.5</formula>
    </cfRule>
  </conditionalFormatting>
  <conditionalFormatting sqref="J3">
    <cfRule type="cellIs" dxfId="0" priority="5" operator="lessThan">
      <formula>7.51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F57B-FAC4-4ED7-96DC-530E5909C2B9}">
  <dimension ref="A1:A3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46</v>
      </c>
    </row>
    <row r="2" spans="1:1" x14ac:dyDescent="0.3">
      <c r="A2">
        <v>1</v>
      </c>
    </row>
    <row r="3" spans="1:1" x14ac:dyDescent="0.3">
      <c r="A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IDENTIFICACIÓN</vt:lpstr>
      <vt:lpstr>REGISTRO</vt:lpstr>
      <vt:lpstr>PUNTAJE GLOBAL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Navas</dc:creator>
  <cp:lastModifiedBy>Gustavo Navas</cp:lastModifiedBy>
  <dcterms:created xsi:type="dcterms:W3CDTF">2025-11-03T15:41:49Z</dcterms:created>
  <dcterms:modified xsi:type="dcterms:W3CDTF">2025-11-03T15:58:53Z</dcterms:modified>
</cp:coreProperties>
</file>